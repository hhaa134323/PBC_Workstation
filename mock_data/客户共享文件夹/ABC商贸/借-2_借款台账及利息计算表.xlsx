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借款台账" sheetId="2" state="visible" r:id="rId2"/>
    <sheet name="利息计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借款台账及利息计算表</t>
        </is>
      </c>
    </row>
    <row r="2">
      <c r="A2" t="inlineStr">
        <is>
          <t>资料编号：借-2</t>
        </is>
      </c>
    </row>
    <row r="3">
      <c r="A3" t="inlineStr">
        <is>
          <t>实体归属：ABC商贸</t>
        </is>
      </c>
    </row>
    <row r="4">
      <c r="A4" t="inlineStr">
        <is>
          <t>相关科目：短期借款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请提供2025年借款台账（余额明细，包括每项借款的类别，起止时间，利率等）及利息计算表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6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>
      <c r="A1" s="4" t="inlineStr">
        <is>
          <t>银行借款台账</t>
        </is>
      </c>
    </row>
    <row r="2">
      <c r="A2" t="inlineStr">
        <is>
          <t>编制单位：ABC商贸　　截止日：2025年12月31日　　单位：元</t>
        </is>
      </c>
    </row>
    <row r="4" ht="24" customHeight="1">
      <c r="A4" s="5" t="inlineStr">
        <is>
          <t>借款编号</t>
        </is>
      </c>
      <c r="B4" s="5" t="inlineStr">
        <is>
          <t>合同编号</t>
        </is>
      </c>
      <c r="C4" s="5" t="inlineStr">
        <is>
          <t>贷款银行</t>
        </is>
      </c>
      <c r="D4" s="5" t="inlineStr">
        <is>
          <t>借款类别</t>
        </is>
      </c>
      <c r="E4" s="5" t="inlineStr">
        <is>
          <t>借款金额</t>
        </is>
      </c>
      <c r="F4" s="5" t="inlineStr">
        <is>
          <t>借款起日</t>
        </is>
      </c>
      <c r="G4" s="5" t="inlineStr">
        <is>
          <t>借款止日</t>
        </is>
      </c>
      <c r="H4" s="5" t="inlineStr">
        <is>
          <t>期限(月)</t>
        </is>
      </c>
      <c r="I4" s="5" t="inlineStr">
        <is>
          <t>年利率</t>
        </is>
      </c>
      <c r="J4" s="5" t="inlineStr">
        <is>
          <t>已还本金</t>
        </is>
      </c>
      <c r="K4" s="5" t="inlineStr">
        <is>
          <t>未还本金</t>
        </is>
      </c>
      <c r="L4" s="5" t="inlineStr">
        <is>
          <t>担保方式</t>
        </is>
      </c>
    </row>
    <row r="5">
      <c r="A5" t="inlineStr">
        <is>
          <t>L2023-001</t>
        </is>
      </c>
      <c r="B5" t="inlineStr">
        <is>
          <t>RL-2023-001</t>
        </is>
      </c>
      <c r="C5" t="inlineStr">
        <is>
          <t>工行广州天河支行</t>
        </is>
      </c>
      <c r="D5" t="inlineStr">
        <is>
          <t>流动资金贷款</t>
        </is>
      </c>
      <c r="E5" s="6" t="n">
        <v>30000000</v>
      </c>
      <c r="F5" t="inlineStr">
        <is>
          <t>2023-06-30</t>
        </is>
      </c>
      <c r="G5" t="inlineStr">
        <is>
          <t>2026-06-29</t>
        </is>
      </c>
      <c r="H5" t="n">
        <v>36</v>
      </c>
      <c r="I5" s="7" t="n">
        <v>0.0435</v>
      </c>
      <c r="J5" s="6" t="n">
        <v>0</v>
      </c>
      <c r="K5" s="6" t="n">
        <v>30000000</v>
      </c>
      <c r="L5" t="inlineStr">
        <is>
          <t>集团担保</t>
        </is>
      </c>
    </row>
    <row r="6">
      <c r="A6" t="inlineStr">
        <is>
          <t>L2024-005</t>
        </is>
      </c>
      <c r="B6" t="inlineStr">
        <is>
          <t>RL-2024-005</t>
        </is>
      </c>
      <c r="C6" t="inlineStr">
        <is>
          <t>建行广州珠江支行</t>
        </is>
      </c>
      <c r="D6" t="inlineStr">
        <is>
          <t>流动资金贷款</t>
        </is>
      </c>
      <c r="E6" s="6" t="n">
        <v>50000000</v>
      </c>
      <c r="F6" t="inlineStr">
        <is>
          <t>2024-03-15</t>
        </is>
      </c>
      <c r="G6" t="inlineStr">
        <is>
          <t>2027-03-14</t>
        </is>
      </c>
      <c r="H6" t="n">
        <v>36</v>
      </c>
      <c r="I6" s="7" t="n">
        <v>0.042</v>
      </c>
      <c r="J6" s="6" t="n">
        <v>0</v>
      </c>
      <c r="K6" s="6" t="n">
        <v>50000000</v>
      </c>
      <c r="L6" t="inlineStr">
        <is>
          <t>集团担保</t>
        </is>
      </c>
    </row>
    <row r="7">
      <c r="A7" t="inlineStr">
        <is>
          <t>L2024-008</t>
        </is>
      </c>
      <c r="B7" t="inlineStr">
        <is>
          <t>RL-2024-008</t>
        </is>
      </c>
      <c r="C7" t="inlineStr">
        <is>
          <t>招行广州分行营业部</t>
        </is>
      </c>
      <c r="D7" t="inlineStr">
        <is>
          <t>流动资金贷款</t>
        </is>
      </c>
      <c r="E7" s="6" t="n">
        <v>20000000</v>
      </c>
      <c r="F7" t="inlineStr">
        <is>
          <t>2024-09-10</t>
        </is>
      </c>
      <c r="G7" t="inlineStr">
        <is>
          <t>2025-09-09</t>
        </is>
      </c>
      <c r="H7" t="n">
        <v>12</v>
      </c>
      <c r="I7" s="7" t="n">
        <v>0.041</v>
      </c>
      <c r="J7" s="6" t="n">
        <v>20000000</v>
      </c>
      <c r="K7" s="6" t="n">
        <v>0</v>
      </c>
      <c r="L7" t="inlineStr">
        <is>
          <t>信用借款</t>
        </is>
      </c>
    </row>
    <row r="8">
      <c r="A8" t="inlineStr">
        <is>
          <t>L2025-002</t>
        </is>
      </c>
      <c r="B8" t="inlineStr">
        <is>
          <t>RL-2025-002</t>
        </is>
      </c>
      <c r="C8" t="inlineStr">
        <is>
          <t>农行广州分行</t>
        </is>
      </c>
      <c r="D8" t="inlineStr">
        <is>
          <t>项目贷款</t>
        </is>
      </c>
      <c r="E8" s="6" t="n">
        <v>45000000</v>
      </c>
      <c r="F8" t="inlineStr">
        <is>
          <t>2025-02-20</t>
        </is>
      </c>
      <c r="G8" t="inlineStr">
        <is>
          <t>2028-02-19</t>
        </is>
      </c>
      <c r="H8" t="n">
        <v>36</v>
      </c>
      <c r="I8" s="7" t="n">
        <v>0.0385</v>
      </c>
      <c r="J8" s="6" t="n">
        <v>0</v>
      </c>
      <c r="K8" s="6" t="n">
        <v>45000000</v>
      </c>
      <c r="L8" t="inlineStr">
        <is>
          <t>集团担保</t>
        </is>
      </c>
    </row>
    <row r="9">
      <c r="A9" t="inlineStr">
        <is>
          <t>L2025-005</t>
        </is>
      </c>
      <c r="B9" t="inlineStr">
        <is>
          <t>RL-2025-005</t>
        </is>
      </c>
      <c r="C9" t="inlineStr">
        <is>
          <t>中行广州分行</t>
        </is>
      </c>
      <c r="D9" t="inlineStr">
        <is>
          <t>流动资金贷款</t>
        </is>
      </c>
      <c r="E9" s="6" t="n">
        <v>15000000</v>
      </c>
      <c r="F9" t="inlineStr">
        <is>
          <t>2025-07-15</t>
        </is>
      </c>
      <c r="G9" t="inlineStr">
        <is>
          <t>2026-07-14</t>
        </is>
      </c>
      <c r="H9" t="n">
        <v>12</v>
      </c>
      <c r="I9" s="7" t="n">
        <v>0.0395</v>
      </c>
      <c r="J9" s="6" t="n">
        <v>0</v>
      </c>
      <c r="K9" s="6" t="n">
        <v>15000000</v>
      </c>
      <c r="L9" t="inlineStr">
        <is>
          <t>信用借款</t>
        </is>
      </c>
    </row>
    <row r="10">
      <c r="A10" s="8" t="inlineStr">
        <is>
          <t>合计</t>
        </is>
      </c>
      <c r="E10" s="9">
        <f>SUM(E5:E9)</f>
        <v/>
      </c>
      <c r="J10" s="9">
        <f>SUM(J5:J9)</f>
        <v/>
      </c>
      <c r="K10" s="9">
        <f>SUM(K5:K9)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8" customWidth="1" min="6" max="6"/>
    <col width="10" customWidth="1" min="7" max="7"/>
    <col width="16" customWidth="1" min="8" max="8"/>
  </cols>
  <sheetData>
    <row r="1">
      <c r="A1" s="4" t="inlineStr">
        <is>
          <t>借款利息计算表</t>
        </is>
      </c>
    </row>
    <row r="2">
      <c r="A2" t="inlineStr">
        <is>
          <t>编制单位：ABC商贸　　2025年度　　单位：元</t>
        </is>
      </c>
    </row>
    <row r="4" ht="24" customHeight="1">
      <c r="A4" s="5" t="inlineStr">
        <is>
          <t>借款编号</t>
        </is>
      </c>
      <c r="B4" s="5" t="inlineStr">
        <is>
          <t>期次</t>
        </is>
      </c>
      <c r="C4" s="5" t="inlineStr">
        <is>
          <t>计息起始日</t>
        </is>
      </c>
      <c r="D4" s="5" t="inlineStr">
        <is>
          <t>计息终止日</t>
        </is>
      </c>
      <c r="E4" s="5" t="inlineStr">
        <is>
          <t>计息天数</t>
        </is>
      </c>
      <c r="F4" s="5" t="inlineStr">
        <is>
          <t>计息本金</t>
        </is>
      </c>
      <c r="G4" s="5" t="inlineStr">
        <is>
          <t>年利率</t>
        </is>
      </c>
      <c r="H4" s="5" t="inlineStr">
        <is>
          <t>利息金额</t>
        </is>
      </c>
    </row>
    <row r="5">
      <c r="A5" t="inlineStr">
        <is>
          <t>L2023-001</t>
        </is>
      </c>
      <c r="B5" t="inlineStr">
        <is>
          <t>2025-Q1</t>
        </is>
      </c>
      <c r="C5" t="inlineStr">
        <is>
          <t>2025-01-01</t>
        </is>
      </c>
      <c r="D5" t="inlineStr">
        <is>
          <t>2025-03-31</t>
        </is>
      </c>
      <c r="E5" t="n">
        <v>90</v>
      </c>
      <c r="F5" s="6" t="n">
        <v>30000000</v>
      </c>
      <c r="G5" s="7" t="n">
        <v>0.0435</v>
      </c>
      <c r="H5" s="6" t="n">
        <v>326250</v>
      </c>
    </row>
    <row r="6">
      <c r="A6" t="inlineStr">
        <is>
          <t>L2023-001</t>
        </is>
      </c>
      <c r="B6" t="inlineStr">
        <is>
          <t>2025-Q1</t>
        </is>
      </c>
      <c r="C6" t="inlineStr">
        <is>
          <t>2025-04-01</t>
        </is>
      </c>
      <c r="D6" t="inlineStr">
        <is>
          <t>2025-06-30</t>
        </is>
      </c>
      <c r="E6" t="n">
        <v>91</v>
      </c>
      <c r="F6" s="6" t="n">
        <v>30000000</v>
      </c>
      <c r="G6" s="7" t="n">
        <v>0.0435</v>
      </c>
      <c r="H6" s="6" t="n">
        <v>329875</v>
      </c>
    </row>
    <row r="7">
      <c r="A7" t="inlineStr">
        <is>
          <t>L2023-001</t>
        </is>
      </c>
      <c r="B7" t="inlineStr">
        <is>
          <t>2025-Q1</t>
        </is>
      </c>
      <c r="C7" t="inlineStr">
        <is>
          <t>2025-07-01</t>
        </is>
      </c>
      <c r="D7" t="inlineStr">
        <is>
          <t>2025-09-30</t>
        </is>
      </c>
      <c r="E7" t="n">
        <v>92</v>
      </c>
      <c r="F7" s="6" t="n">
        <v>30000000</v>
      </c>
      <c r="G7" s="7" t="n">
        <v>0.0435</v>
      </c>
      <c r="H7" s="6" t="n">
        <v>333500</v>
      </c>
    </row>
    <row r="8">
      <c r="A8" t="inlineStr">
        <is>
          <t>L2023-001</t>
        </is>
      </c>
      <c r="B8" t="inlineStr">
        <is>
          <t>2025-Q1</t>
        </is>
      </c>
      <c r="C8" t="inlineStr">
        <is>
          <t>2025-10-01</t>
        </is>
      </c>
      <c r="D8" t="inlineStr">
        <is>
          <t>2025-12-31</t>
        </is>
      </c>
      <c r="E8" t="n">
        <v>92</v>
      </c>
      <c r="F8" s="6" t="n">
        <v>30000000</v>
      </c>
      <c r="G8" s="7" t="n">
        <v>0.0435</v>
      </c>
      <c r="H8" s="6" t="n">
        <v>333500</v>
      </c>
    </row>
    <row r="9">
      <c r="A9" t="inlineStr">
        <is>
          <t>L2024-005</t>
        </is>
      </c>
      <c r="B9" t="inlineStr">
        <is>
          <t>2025-Q2</t>
        </is>
      </c>
      <c r="C9" t="inlineStr">
        <is>
          <t>2025-01-01</t>
        </is>
      </c>
      <c r="D9" t="inlineStr">
        <is>
          <t>2025-03-31</t>
        </is>
      </c>
      <c r="E9" t="n">
        <v>90</v>
      </c>
      <c r="F9" s="6" t="n">
        <v>50000000</v>
      </c>
      <c r="G9" s="7" t="n">
        <v>0.042</v>
      </c>
      <c r="H9" s="6" t="n">
        <v>525000</v>
      </c>
    </row>
    <row r="10">
      <c r="A10" t="inlineStr">
        <is>
          <t>L2024-005</t>
        </is>
      </c>
      <c r="B10" t="inlineStr">
        <is>
          <t>2025-Q2</t>
        </is>
      </c>
      <c r="C10" t="inlineStr">
        <is>
          <t>2025-04-01</t>
        </is>
      </c>
      <c r="D10" t="inlineStr">
        <is>
          <t>2025-06-30</t>
        </is>
      </c>
      <c r="E10" t="n">
        <v>91</v>
      </c>
      <c r="F10" s="6" t="n">
        <v>50000000</v>
      </c>
      <c r="G10" s="7" t="n">
        <v>0.042</v>
      </c>
      <c r="H10" s="6" t="n">
        <v>530833.33</v>
      </c>
    </row>
    <row r="11">
      <c r="A11" t="inlineStr">
        <is>
          <t>L2024-005</t>
        </is>
      </c>
      <c r="B11" t="inlineStr">
        <is>
          <t>2025-Q2</t>
        </is>
      </c>
      <c r="C11" t="inlineStr">
        <is>
          <t>2025-07-01</t>
        </is>
      </c>
      <c r="D11" t="inlineStr">
        <is>
          <t>2025-09-30</t>
        </is>
      </c>
      <c r="E11" t="n">
        <v>92</v>
      </c>
      <c r="F11" s="6" t="n">
        <v>50000000</v>
      </c>
      <c r="G11" s="7" t="n">
        <v>0.042</v>
      </c>
      <c r="H11" s="6" t="n">
        <v>536666.67</v>
      </c>
    </row>
    <row r="12">
      <c r="A12" t="inlineStr">
        <is>
          <t>L2024-005</t>
        </is>
      </c>
      <c r="B12" t="inlineStr">
        <is>
          <t>2025-Q2</t>
        </is>
      </c>
      <c r="C12" t="inlineStr">
        <is>
          <t>2025-10-01</t>
        </is>
      </c>
      <c r="D12" t="inlineStr">
        <is>
          <t>2025-12-31</t>
        </is>
      </c>
      <c r="E12" t="n">
        <v>92</v>
      </c>
      <c r="F12" s="6" t="n">
        <v>50000000</v>
      </c>
      <c r="G12" s="7" t="n">
        <v>0.042</v>
      </c>
      <c r="H12" s="6" t="n">
        <v>536666.67</v>
      </c>
    </row>
    <row r="13">
      <c r="A13" t="inlineStr">
        <is>
          <t>L2024-008</t>
        </is>
      </c>
      <c r="B13" t="inlineStr">
        <is>
          <t>2025-Q3</t>
        </is>
      </c>
      <c r="C13" t="inlineStr">
        <is>
          <t>2025-01-01</t>
        </is>
      </c>
      <c r="D13" t="inlineStr">
        <is>
          <t>2025-03-31</t>
        </is>
      </c>
      <c r="E13" t="n">
        <v>90</v>
      </c>
      <c r="F13" s="6" t="n">
        <v>20000000</v>
      </c>
      <c r="G13" s="7" t="n">
        <v>0.041</v>
      </c>
      <c r="H13" s="6" t="n">
        <v>205000</v>
      </c>
    </row>
    <row r="14">
      <c r="A14" t="inlineStr">
        <is>
          <t>L2024-008</t>
        </is>
      </c>
      <c r="B14" t="inlineStr">
        <is>
          <t>2025-Q3</t>
        </is>
      </c>
      <c r="C14" t="inlineStr">
        <is>
          <t>2025-04-01</t>
        </is>
      </c>
      <c r="D14" t="inlineStr">
        <is>
          <t>2025-06-30</t>
        </is>
      </c>
      <c r="E14" t="n">
        <v>91</v>
      </c>
      <c r="F14" s="6" t="n">
        <v>20000000</v>
      </c>
      <c r="G14" s="7" t="n">
        <v>0.041</v>
      </c>
      <c r="H14" s="6" t="n">
        <v>207277.78</v>
      </c>
    </row>
    <row r="15">
      <c r="A15" t="inlineStr">
        <is>
          <t>L2024-008</t>
        </is>
      </c>
      <c r="B15" t="inlineStr">
        <is>
          <t>2025-Q3</t>
        </is>
      </c>
      <c r="C15" t="inlineStr">
        <is>
          <t>2025-07-01</t>
        </is>
      </c>
      <c r="D15" t="inlineStr">
        <is>
          <t>2025-09-09</t>
        </is>
      </c>
      <c r="E15" t="n">
        <v>71</v>
      </c>
      <c r="F15" s="6" t="n">
        <v>20000000</v>
      </c>
      <c r="G15" s="7" t="n">
        <v>0.041</v>
      </c>
      <c r="H15" s="6" t="n">
        <v>161722.22</v>
      </c>
    </row>
    <row r="16">
      <c r="A16" t="inlineStr">
        <is>
          <t>L2025-002</t>
        </is>
      </c>
      <c r="B16" t="inlineStr">
        <is>
          <t>2025-Q3</t>
        </is>
      </c>
      <c r="C16" t="inlineStr">
        <is>
          <t>2025-02-20</t>
        </is>
      </c>
      <c r="D16" t="inlineStr">
        <is>
          <t>2025-03-31</t>
        </is>
      </c>
      <c r="E16" t="n">
        <v>40</v>
      </c>
      <c r="F16" s="6" t="n">
        <v>45000000</v>
      </c>
      <c r="G16" s="7" t="n">
        <v>0.0385</v>
      </c>
      <c r="H16" s="6" t="n">
        <v>192500</v>
      </c>
    </row>
    <row r="17">
      <c r="A17" t="inlineStr">
        <is>
          <t>L2025-002</t>
        </is>
      </c>
      <c r="B17" t="inlineStr">
        <is>
          <t>2025-Q4</t>
        </is>
      </c>
      <c r="C17" t="inlineStr">
        <is>
          <t>2025-04-01</t>
        </is>
      </c>
      <c r="D17" t="inlineStr">
        <is>
          <t>2025-06-30</t>
        </is>
      </c>
      <c r="E17" t="n">
        <v>91</v>
      </c>
      <c r="F17" s="6" t="n">
        <v>45000000</v>
      </c>
      <c r="G17" s="7" t="n">
        <v>0.0385</v>
      </c>
      <c r="H17" s="6" t="n">
        <v>437937.5</v>
      </c>
    </row>
    <row r="18">
      <c r="A18" t="inlineStr">
        <is>
          <t>L2025-002</t>
        </is>
      </c>
      <c r="B18" t="inlineStr">
        <is>
          <t>2025-Q4</t>
        </is>
      </c>
      <c r="C18" t="inlineStr">
        <is>
          <t>2025-07-01</t>
        </is>
      </c>
      <c r="D18" t="inlineStr">
        <is>
          <t>2025-09-30</t>
        </is>
      </c>
      <c r="E18" t="n">
        <v>92</v>
      </c>
      <c r="F18" s="6" t="n">
        <v>45000000</v>
      </c>
      <c r="G18" s="7" t="n">
        <v>0.0385</v>
      </c>
      <c r="H18" s="6" t="n">
        <v>442750</v>
      </c>
    </row>
    <row r="19">
      <c r="A19" t="inlineStr">
        <is>
          <t>L2025-002</t>
        </is>
      </c>
      <c r="B19" t="inlineStr">
        <is>
          <t>2025-Q4</t>
        </is>
      </c>
      <c r="C19" t="inlineStr">
        <is>
          <t>2025-10-01</t>
        </is>
      </c>
      <c r="D19" t="inlineStr">
        <is>
          <t>2025-12-31</t>
        </is>
      </c>
      <c r="E19" t="n">
        <v>92</v>
      </c>
      <c r="F19" s="6" t="n">
        <v>45000000</v>
      </c>
      <c r="G19" s="7" t="n">
        <v>0.0385</v>
      </c>
      <c r="H19" s="6" t="n">
        <v>442750</v>
      </c>
    </row>
    <row r="20">
      <c r="A20" t="inlineStr">
        <is>
          <t>L2025-005</t>
        </is>
      </c>
      <c r="B20" t="inlineStr">
        <is>
          <t>2025-Q4</t>
        </is>
      </c>
      <c r="C20" t="inlineStr">
        <is>
          <t>2025-07-15</t>
        </is>
      </c>
      <c r="D20" t="inlineStr">
        <is>
          <t>2025-09-30</t>
        </is>
      </c>
      <c r="E20" t="n">
        <v>78</v>
      </c>
      <c r="F20" s="6" t="n">
        <v>15000000</v>
      </c>
      <c r="G20" s="7" t="n">
        <v>0.0395</v>
      </c>
      <c r="H20" s="6" t="n">
        <v>128375</v>
      </c>
    </row>
    <row r="21">
      <c r="A21" t="inlineStr">
        <is>
          <t>L2025-005</t>
        </is>
      </c>
      <c r="B21" t="inlineStr">
        <is>
          <t>2025-Q5</t>
        </is>
      </c>
      <c r="C21" t="inlineStr">
        <is>
          <t>2025-10-01</t>
        </is>
      </c>
      <c r="D21" t="inlineStr">
        <is>
          <t>2025-12-31</t>
        </is>
      </c>
      <c r="E21" t="n">
        <v>92</v>
      </c>
      <c r="F21" s="6" t="n">
        <v>15000000</v>
      </c>
      <c r="G21" s="7" t="n">
        <v>0.0395</v>
      </c>
      <c r="H21" s="6" t="n">
        <v>151416.67</v>
      </c>
    </row>
    <row r="22">
      <c r="A22" s="8" t="inlineStr">
        <is>
          <t>合计</t>
        </is>
      </c>
      <c r="H22" s="9">
        <f>SUM(H5:H21)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