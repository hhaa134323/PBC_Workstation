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应付账款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应付账款明细表及账龄</t>
        </is>
      </c>
    </row>
    <row r="2">
      <c r="A2" t="inlineStr">
        <is>
          <t>资料编号：往来-4</t>
        </is>
      </c>
    </row>
    <row r="3">
      <c r="A3" t="inlineStr">
        <is>
          <t>实体归属：ABC商贸</t>
        </is>
      </c>
    </row>
    <row r="4">
      <c r="A4" t="inlineStr">
        <is>
          <t>相关科目：往来科目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2025年12月31日应付账款明细表及账龄（包括供应商/对方名称和余额等）。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应付账款明细表及账龄</t>
        </is>
      </c>
    </row>
    <row r="2">
      <c r="A2" t="inlineStr">
        <is>
          <t>编制单位：ABC商贸　　截止日：2025年12月31日　　单位：元</t>
        </is>
      </c>
    </row>
    <row r="4" ht="24" customHeight="1">
      <c r="A4" s="5" t="inlineStr">
        <is>
          <t>供应商代码</t>
        </is>
      </c>
      <c r="B4" s="5" t="inlineStr">
        <is>
          <t>供应商名称</t>
        </is>
      </c>
      <c r="C4" s="5" t="inlineStr">
        <is>
          <t>供应商性质</t>
        </is>
      </c>
      <c r="D4" s="5" t="inlineStr">
        <is>
          <t>所属集团</t>
        </is>
      </c>
      <c r="E4" s="5" t="inlineStr">
        <is>
          <t>期初余额</t>
        </is>
      </c>
      <c r="F4" s="5" t="inlineStr">
        <is>
          <t>本期借方</t>
        </is>
      </c>
      <c r="G4" s="5" t="inlineStr">
        <is>
          <t>本期贷方</t>
        </is>
      </c>
      <c r="H4" s="5" t="inlineStr">
        <is>
          <t>期末余额</t>
        </is>
      </c>
      <c r="I4" s="5" t="inlineStr">
        <is>
          <t>1年以内</t>
        </is>
      </c>
      <c r="J4" s="5" t="inlineStr">
        <is>
          <t>1-2年</t>
        </is>
      </c>
      <c r="K4" s="5" t="inlineStr">
        <is>
          <t>2-3年</t>
        </is>
      </c>
      <c r="L4" s="5" t="inlineStr">
        <is>
          <t>3年以上</t>
        </is>
      </c>
    </row>
    <row r="5">
      <c r="A5" t="inlineStr">
        <is>
          <t>S001</t>
        </is>
      </c>
      <c r="B5" t="inlineStr">
        <is>
          <t>某供应商甲有限公司</t>
        </is>
      </c>
      <c r="C5" t="inlineStr">
        <is>
          <t>民营企业</t>
        </is>
      </c>
      <c r="D5" t="inlineStr">
        <is>
          <t>无集团</t>
        </is>
      </c>
      <c r="E5" s="6" t="n">
        <v>1580000</v>
      </c>
      <c r="F5" s="6" t="n">
        <v>2830000</v>
      </c>
      <c r="G5" s="6" t="n">
        <v>3580000</v>
      </c>
      <c r="H5" s="6" t="n">
        <v>2330000</v>
      </c>
      <c r="I5" s="6" t="n">
        <v>1817400</v>
      </c>
      <c r="J5" s="6" t="n">
        <v>419400</v>
      </c>
      <c r="K5" s="6" t="n">
        <v>93200</v>
      </c>
      <c r="L5" s="6" t="n">
        <v>0</v>
      </c>
    </row>
    <row r="6">
      <c r="A6" t="inlineStr">
        <is>
          <t>S002</t>
        </is>
      </c>
      <c r="B6" t="inlineStr">
        <is>
          <t>某供应商乙股份公司</t>
        </is>
      </c>
      <c r="C6" t="inlineStr">
        <is>
          <t>国有企业</t>
        </is>
      </c>
      <c r="D6" t="inlineStr">
        <is>
          <t>某集团A</t>
        </is>
      </c>
      <c r="E6" s="6" t="n">
        <v>2250000</v>
      </c>
      <c r="F6" s="6" t="n">
        <v>5100000</v>
      </c>
      <c r="G6" s="6" t="n">
        <v>4200000</v>
      </c>
      <c r="H6" s="6" t="n">
        <v>1350000</v>
      </c>
      <c r="I6" s="6" t="n">
        <v>1053000</v>
      </c>
      <c r="J6" s="6" t="n">
        <v>243000</v>
      </c>
      <c r="K6" s="6" t="n">
        <v>54000</v>
      </c>
      <c r="L6" s="6" t="n">
        <v>0</v>
      </c>
    </row>
    <row r="7">
      <c r="A7" t="inlineStr">
        <is>
          <t>S003</t>
        </is>
      </c>
      <c r="B7" t="inlineStr">
        <is>
          <t>某供应商丙有限公司</t>
        </is>
      </c>
      <c r="C7" t="inlineStr">
        <is>
          <t>外资企业</t>
        </is>
      </c>
      <c r="D7" t="inlineStr">
        <is>
          <t>无集团</t>
        </is>
      </c>
      <c r="E7" s="6" t="n">
        <v>980000</v>
      </c>
      <c r="F7" s="6" t="n">
        <v>1450000</v>
      </c>
      <c r="G7" s="6" t="n">
        <v>1890000</v>
      </c>
      <c r="H7" s="6" t="n">
        <v>1420000</v>
      </c>
      <c r="I7" s="6" t="n">
        <v>1107600</v>
      </c>
      <c r="J7" s="6" t="n">
        <v>255600</v>
      </c>
      <c r="K7" s="6" t="n">
        <v>56800</v>
      </c>
      <c r="L7" s="6" t="n">
        <v>0</v>
      </c>
    </row>
    <row r="8">
      <c r="A8" t="inlineStr">
        <is>
          <t>S004</t>
        </is>
      </c>
      <c r="B8" t="inlineStr">
        <is>
          <t>某供应商丁有限公司</t>
        </is>
      </c>
      <c r="C8" t="inlineStr">
        <is>
          <t>民营企业</t>
        </is>
      </c>
      <c r="D8" t="inlineStr">
        <is>
          <t>无集团</t>
        </is>
      </c>
      <c r="E8" s="6" t="n">
        <v>3250000</v>
      </c>
      <c r="F8" s="6" t="n">
        <v>4200000</v>
      </c>
      <c r="G8" s="6" t="n">
        <v>2800000</v>
      </c>
      <c r="H8" s="6" t="n">
        <v>1850000</v>
      </c>
      <c r="I8" s="6" t="n">
        <v>1443000</v>
      </c>
      <c r="J8" s="6" t="n">
        <v>333000</v>
      </c>
      <c r="K8" s="6" t="n">
        <v>74000</v>
      </c>
      <c r="L8" s="6" t="n">
        <v>0</v>
      </c>
    </row>
    <row r="9">
      <c r="A9" t="inlineStr">
        <is>
          <t>S005</t>
        </is>
      </c>
      <c r="B9" t="inlineStr">
        <is>
          <t>某供应商戊有限公司</t>
        </is>
      </c>
      <c r="C9" t="inlineStr">
        <is>
          <t>民营企业</t>
        </is>
      </c>
      <c r="D9" t="inlineStr">
        <is>
          <t>无集团</t>
        </is>
      </c>
      <c r="E9" s="6" t="n">
        <v>0</v>
      </c>
      <c r="F9" s="6" t="n">
        <v>1820000</v>
      </c>
      <c r="G9" s="6" t="n">
        <v>1520000</v>
      </c>
      <c r="H9" s="6" t="n">
        <v>-300000</v>
      </c>
      <c r="I9" s="6" t="n">
        <v>-234000</v>
      </c>
      <c r="J9" s="6" t="n">
        <v>-54000</v>
      </c>
      <c r="K9" s="6" t="n">
        <v>-12000</v>
      </c>
      <c r="L9" s="6" t="n">
        <v>0</v>
      </c>
    </row>
    <row r="10">
      <c r="A10" t="inlineStr">
        <is>
          <t>S006</t>
        </is>
      </c>
      <c r="B10" t="inlineStr">
        <is>
          <t>某供应商己股份公司</t>
        </is>
      </c>
      <c r="C10" t="inlineStr">
        <is>
          <t>民营企业</t>
        </is>
      </c>
      <c r="D10" t="inlineStr">
        <is>
          <t>某集团C</t>
        </is>
      </c>
      <c r="E10" s="6" t="n">
        <v>1580000</v>
      </c>
      <c r="F10" s="6" t="n">
        <v>2250000</v>
      </c>
      <c r="G10" s="6" t="n">
        <v>1580000</v>
      </c>
      <c r="H10" s="6" t="n">
        <v>910000</v>
      </c>
      <c r="I10" s="6" t="n">
        <v>709800</v>
      </c>
      <c r="J10" s="6" t="n">
        <v>163800</v>
      </c>
      <c r="K10" s="6" t="n">
        <v>36400</v>
      </c>
      <c r="L10" s="6" t="n">
        <v>0</v>
      </c>
    </row>
    <row r="11">
      <c r="A11" t="inlineStr">
        <is>
          <t>S007</t>
        </is>
      </c>
      <c r="B11" t="inlineStr">
        <is>
          <t>某供应商庚有限公司</t>
        </is>
      </c>
      <c r="C11" t="inlineStr">
        <is>
          <t>国有企业</t>
        </is>
      </c>
      <c r="D11" t="inlineStr">
        <is>
          <t>某集团D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t="inlineStr">
        <is>
          <t>S008</t>
        </is>
      </c>
      <c r="B12" t="inlineStr">
        <is>
          <t>某供应商辛有限公司</t>
        </is>
      </c>
      <c r="C12" t="inlineStr">
        <is>
          <t>民营企业</t>
        </is>
      </c>
      <c r="D12" t="inlineStr">
        <is>
          <t>无集团</t>
        </is>
      </c>
      <c r="E12" s="6" t="n">
        <v>320000</v>
      </c>
      <c r="F12" s="6" t="n">
        <v>650000</v>
      </c>
      <c r="G12" s="6" t="n">
        <v>720000</v>
      </c>
      <c r="H12" s="6" t="n">
        <v>390000</v>
      </c>
      <c r="I12" s="6" t="n">
        <v>304200</v>
      </c>
      <c r="J12" s="6" t="n">
        <v>70200</v>
      </c>
      <c r="K12" s="6" t="n">
        <v>15600</v>
      </c>
      <c r="L12" s="6" t="n">
        <v>0</v>
      </c>
    </row>
    <row r="13">
      <c r="A13" t="inlineStr">
        <is>
          <t>S009</t>
        </is>
      </c>
      <c r="B13" t="inlineStr">
        <is>
          <t>某供应商壬有限公司</t>
        </is>
      </c>
      <c r="C13" t="inlineStr">
        <is>
          <t>外资企业</t>
        </is>
      </c>
      <c r="D13" t="inlineStr">
        <is>
          <t>无集团</t>
        </is>
      </c>
      <c r="E13" s="6" t="n">
        <v>1120000</v>
      </c>
      <c r="F13" s="6" t="n">
        <v>2380000</v>
      </c>
      <c r="G13" s="6" t="n">
        <v>1680000</v>
      </c>
      <c r="H13" s="6" t="n">
        <v>420000</v>
      </c>
      <c r="I13" s="6" t="n">
        <v>327600</v>
      </c>
      <c r="J13" s="6" t="n">
        <v>75600</v>
      </c>
      <c r="K13" s="6" t="n">
        <v>16800</v>
      </c>
      <c r="L13" s="6" t="n">
        <v>0</v>
      </c>
    </row>
    <row r="14">
      <c r="A14" t="inlineStr">
        <is>
          <t>S010</t>
        </is>
      </c>
      <c r="B14" t="inlineStr">
        <is>
          <t>某供应商癸有限公司</t>
        </is>
      </c>
      <c r="C14" t="inlineStr">
        <is>
          <t>民营企业</t>
        </is>
      </c>
      <c r="D14" t="inlineStr">
        <is>
          <t>无集团</t>
        </is>
      </c>
      <c r="E14" s="6" t="n">
        <v>0</v>
      </c>
      <c r="F14" s="6" t="n">
        <v>580000</v>
      </c>
      <c r="G14" s="6" t="n">
        <v>380000</v>
      </c>
      <c r="H14" s="6" t="n">
        <v>-200000</v>
      </c>
      <c r="I14" s="6" t="n">
        <v>-156000</v>
      </c>
      <c r="J14" s="6" t="n">
        <v>-36000</v>
      </c>
      <c r="K14" s="6" t="n">
        <v>-8000</v>
      </c>
      <c r="L14" s="6" t="n">
        <v>0</v>
      </c>
    </row>
    <row r="15">
      <c r="A15" s="7" t="inlineStr">
        <is>
          <t>合计</t>
        </is>
      </c>
      <c r="E15" s="8">
        <f>SUM(E5:E14)</f>
        <v/>
      </c>
      <c r="F15" s="8">
        <f>SUM(F5:F14)</f>
        <v/>
      </c>
      <c r="G15" s="8">
        <f>SUM(G5:G14)</f>
        <v/>
      </c>
      <c r="H15" s="8">
        <f>SUM(H5:H14)</f>
        <v/>
      </c>
      <c r="I15" s="8">
        <f>SUM(I5:I14)</f>
        <v/>
      </c>
      <c r="J15" s="8">
        <f>SUM(J5:J14)</f>
        <v/>
      </c>
      <c r="K15" s="8">
        <f>SUM(K5:K14)</f>
        <v/>
      </c>
      <c r="L15" s="8">
        <f>SUM(L5:L14)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