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固定资产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固定资产明细表</t>
        </is>
      </c>
    </row>
    <row r="2">
      <c r="A2" t="inlineStr">
        <is>
          <t>资料编号：长期资产-4</t>
        </is>
      </c>
    </row>
    <row r="3">
      <c r="A3" t="inlineStr">
        <is>
          <t>实体归属：ABC制造</t>
        </is>
      </c>
    </row>
    <row r="4">
      <c r="A4" t="inlineStr">
        <is>
          <t>相关科目：固定资产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贵公司截至2025年12月31日固定资产明细表（字段至少包括固定资产编号、固定资产名称、折旧年限、购入时间、原值、累计折旧）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0" customWidth="1" min="10" max="10"/>
    <col width="10" customWidth="1" min="11" max="11"/>
  </cols>
  <sheetData>
    <row r="1">
      <c r="A1" s="4" t="inlineStr">
        <is>
          <t>固定资产明细表</t>
        </is>
      </c>
    </row>
    <row r="2">
      <c r="A2" t="inlineStr">
        <is>
          <t>编制单位：ABC制造　　截止日：2025年12月31日　　单位：元</t>
        </is>
      </c>
    </row>
    <row r="4" ht="24" customHeight="1">
      <c r="A4" s="5" t="inlineStr">
        <is>
          <t>资产编号</t>
        </is>
      </c>
      <c r="B4" s="5" t="inlineStr">
        <is>
          <t>资产名称</t>
        </is>
      </c>
      <c r="C4" s="5" t="inlineStr">
        <is>
          <t>资产类别</t>
        </is>
      </c>
      <c r="D4" s="5" t="inlineStr">
        <is>
          <t>规格型号</t>
        </is>
      </c>
      <c r="E4" s="5" t="inlineStr">
        <is>
          <t>计量单位</t>
        </is>
      </c>
      <c r="F4" s="5" t="inlineStr">
        <is>
          <t>购入日期</t>
        </is>
      </c>
      <c r="G4" s="5" t="inlineStr">
        <is>
          <t>原值</t>
        </is>
      </c>
      <c r="H4" s="5" t="inlineStr">
        <is>
          <t>累计折旧</t>
        </is>
      </c>
      <c r="I4" s="5" t="inlineStr">
        <is>
          <t>净值</t>
        </is>
      </c>
      <c r="J4" s="5" t="inlineStr">
        <is>
          <t>折旧年限</t>
        </is>
      </c>
      <c r="K4" s="5" t="inlineStr">
        <is>
          <t>残值率</t>
        </is>
      </c>
    </row>
    <row r="5">
      <c r="A5" t="inlineStr">
        <is>
          <t>FA-0001</t>
        </is>
      </c>
      <c r="B5" t="inlineStr">
        <is>
          <t>厂房A</t>
        </is>
      </c>
      <c r="C5" t="inlineStr">
        <is>
          <t>房屋及建筑物</t>
        </is>
      </c>
      <c r="D5" t="inlineStr">
        <is>
          <t>标准型</t>
        </is>
      </c>
      <c r="E5" t="inlineStr">
        <is>
          <t>栋</t>
        </is>
      </c>
      <c r="F5" t="inlineStr">
        <is>
          <t>2019-11-28</t>
        </is>
      </c>
      <c r="G5" s="6" t="n">
        <v>5200000</v>
      </c>
      <c r="H5" s="6" t="n">
        <v>1502583.33</v>
      </c>
      <c r="I5" s="6" t="n">
        <v>3697416.67</v>
      </c>
      <c r="J5" t="n">
        <v>20</v>
      </c>
      <c r="K5" s="7" t="n">
        <v>0.05</v>
      </c>
    </row>
    <row r="6">
      <c r="A6" t="inlineStr">
        <is>
          <t>FA-0002</t>
        </is>
      </c>
      <c r="B6" t="inlineStr">
        <is>
          <t>办公楼</t>
        </is>
      </c>
      <c r="C6" t="inlineStr">
        <is>
          <t>房屋及建筑物</t>
        </is>
      </c>
      <c r="D6" t="inlineStr">
        <is>
          <t>标准型</t>
        </is>
      </c>
      <c r="E6" t="inlineStr">
        <is>
          <t>栋</t>
        </is>
      </c>
      <c r="F6" t="inlineStr">
        <is>
          <t>2024-08-04</t>
        </is>
      </c>
      <c r="G6" s="6" t="n">
        <v>3800000</v>
      </c>
      <c r="H6" s="6" t="n">
        <v>240666.67</v>
      </c>
      <c r="I6" s="6" t="n">
        <v>3559333.33</v>
      </c>
      <c r="J6" t="n">
        <v>20</v>
      </c>
      <c r="K6" s="7" t="n">
        <v>0.05</v>
      </c>
    </row>
    <row r="7">
      <c r="A7" t="inlineStr">
        <is>
          <t>FA-0003</t>
        </is>
      </c>
      <c r="B7" t="inlineStr">
        <is>
          <t>数控车床</t>
        </is>
      </c>
      <c r="C7" t="inlineStr">
        <is>
          <t>机器设备</t>
        </is>
      </c>
      <c r="D7" t="inlineStr">
        <is>
          <t>标准型</t>
        </is>
      </c>
      <c r="E7" t="inlineStr">
        <is>
          <t>台</t>
        </is>
      </c>
      <c r="F7" t="inlineStr">
        <is>
          <t>2024-01-19</t>
        </is>
      </c>
      <c r="G7" s="6" t="n">
        <v>850000</v>
      </c>
      <c r="H7" s="6" t="n">
        <v>154770.83</v>
      </c>
      <c r="I7" s="6" t="n">
        <v>695229.17</v>
      </c>
      <c r="J7" t="n">
        <v>10</v>
      </c>
      <c r="K7" s="7" t="n">
        <v>0.05</v>
      </c>
    </row>
    <row r="8">
      <c r="A8" t="inlineStr">
        <is>
          <t>FA-0004</t>
        </is>
      </c>
      <c r="B8" t="inlineStr">
        <is>
          <t>注塑机</t>
        </is>
      </c>
      <c r="C8" t="inlineStr">
        <is>
          <t>机器设备</t>
        </is>
      </c>
      <c r="D8" t="inlineStr">
        <is>
          <t>标准型</t>
        </is>
      </c>
      <c r="E8" t="inlineStr">
        <is>
          <t>台</t>
        </is>
      </c>
      <c r="F8" t="inlineStr">
        <is>
          <t>2020-08-16</t>
        </is>
      </c>
      <c r="G8" s="6" t="n">
        <v>1250000</v>
      </c>
      <c r="H8" s="6" t="n">
        <v>633333.33</v>
      </c>
      <c r="I8" s="6" t="n">
        <v>616666.67</v>
      </c>
      <c r="J8" t="n">
        <v>10</v>
      </c>
      <c r="K8" s="7" t="n">
        <v>0.05</v>
      </c>
    </row>
    <row r="9">
      <c r="A9" t="inlineStr">
        <is>
          <t>FA-0005</t>
        </is>
      </c>
      <c r="B9" t="inlineStr">
        <is>
          <t xml:space="preserve"> CNC加工中心</t>
        </is>
      </c>
      <c r="C9" t="inlineStr">
        <is>
          <t>机器设备</t>
        </is>
      </c>
      <c r="D9" t="inlineStr">
        <is>
          <t>标准型</t>
        </is>
      </c>
      <c r="E9" t="inlineStr">
        <is>
          <t>台</t>
        </is>
      </c>
      <c r="F9" t="inlineStr">
        <is>
          <t>2021-06-06</t>
        </is>
      </c>
      <c r="G9" s="6" t="n">
        <v>2100000</v>
      </c>
      <c r="H9" s="6" t="n">
        <v>897750</v>
      </c>
      <c r="I9" s="6" t="n">
        <v>1202250</v>
      </c>
      <c r="J9" t="n">
        <v>10</v>
      </c>
      <c r="K9" s="7" t="n">
        <v>0.05</v>
      </c>
    </row>
    <row r="10">
      <c r="A10" t="inlineStr">
        <is>
          <t>FA-0006</t>
        </is>
      </c>
      <c r="B10" t="inlineStr">
        <is>
          <t>激光切割机</t>
        </is>
      </c>
      <c r="C10" t="inlineStr">
        <is>
          <t>机器设备</t>
        </is>
      </c>
      <c r="D10" t="inlineStr">
        <is>
          <t>标准型</t>
        </is>
      </c>
      <c r="E10" t="inlineStr">
        <is>
          <t>台</t>
        </is>
      </c>
      <c r="F10" t="inlineStr">
        <is>
          <t>2018-05-28</t>
        </is>
      </c>
      <c r="G10" s="6" t="n">
        <v>680000</v>
      </c>
      <c r="H10" s="6" t="n">
        <v>489883.33</v>
      </c>
      <c r="I10" s="6" t="n">
        <v>190116.67</v>
      </c>
      <c r="J10" t="n">
        <v>10</v>
      </c>
      <c r="K10" s="7" t="n">
        <v>0.05</v>
      </c>
    </row>
    <row r="11">
      <c r="A11" t="inlineStr">
        <is>
          <t>FA-0007</t>
        </is>
      </c>
      <c r="B11" t="inlineStr">
        <is>
          <t>检测设备A</t>
        </is>
      </c>
      <c r="C11" t="inlineStr">
        <is>
          <t>机器设备</t>
        </is>
      </c>
      <c r="D11" t="inlineStr">
        <is>
          <t>标准型</t>
        </is>
      </c>
      <c r="E11" t="inlineStr">
        <is>
          <t>套</t>
        </is>
      </c>
      <c r="F11" t="inlineStr">
        <is>
          <t>2021-02-27</t>
        </is>
      </c>
      <c r="G11" s="6" t="n">
        <v>320000</v>
      </c>
      <c r="H11" s="6" t="n">
        <v>146933.33</v>
      </c>
      <c r="I11" s="6" t="n">
        <v>173066.67</v>
      </c>
      <c r="J11" t="n">
        <v>10</v>
      </c>
      <c r="K11" s="7" t="n">
        <v>0.05</v>
      </c>
    </row>
    <row r="12">
      <c r="A12" t="inlineStr">
        <is>
          <t>FA-0008</t>
        </is>
      </c>
      <c r="B12" t="inlineStr">
        <is>
          <t>叉车</t>
        </is>
      </c>
      <c r="C12" t="inlineStr">
        <is>
          <t>运输设备</t>
        </is>
      </c>
      <c r="D12" t="inlineStr">
        <is>
          <t>标准型</t>
        </is>
      </c>
      <c r="E12" t="inlineStr">
        <is>
          <t>台</t>
        </is>
      </c>
      <c r="F12" t="inlineStr">
        <is>
          <t>2018-07-16</t>
        </is>
      </c>
      <c r="G12" s="6" t="n">
        <v>180000</v>
      </c>
      <c r="H12" s="6" t="n">
        <v>171000</v>
      </c>
      <c r="I12" s="6" t="n">
        <v>9000</v>
      </c>
      <c r="J12" t="n">
        <v>5</v>
      </c>
      <c r="K12" s="7" t="n">
        <v>0.05</v>
      </c>
    </row>
    <row r="13">
      <c r="A13" t="inlineStr">
        <is>
          <t>FA-0009</t>
        </is>
      </c>
      <c r="B13" t="inlineStr">
        <is>
          <t>货车</t>
        </is>
      </c>
      <c r="C13" t="inlineStr">
        <is>
          <t>运输设备</t>
        </is>
      </c>
      <c r="D13" t="inlineStr">
        <is>
          <t>标准型</t>
        </is>
      </c>
      <c r="E13" t="inlineStr">
        <is>
          <t>台</t>
        </is>
      </c>
      <c r="F13" t="inlineStr">
        <is>
          <t>2018-10-21</t>
        </is>
      </c>
      <c r="G13" s="6" t="n">
        <v>280000</v>
      </c>
      <c r="H13" s="6" t="n">
        <v>266000</v>
      </c>
      <c r="I13" s="6" t="n">
        <v>14000</v>
      </c>
      <c r="J13" t="n">
        <v>5</v>
      </c>
      <c r="K13" s="7" t="n">
        <v>0.05</v>
      </c>
    </row>
    <row r="14">
      <c r="A14" t="inlineStr">
        <is>
          <t>FA-0010</t>
        </is>
      </c>
      <c r="B14" t="inlineStr">
        <is>
          <t>服务器机柜</t>
        </is>
      </c>
      <c r="C14" t="inlineStr">
        <is>
          <t>电子设备</t>
        </is>
      </c>
      <c r="D14" t="inlineStr">
        <is>
          <t>标准型</t>
        </is>
      </c>
      <c r="E14" t="inlineStr">
        <is>
          <t>套</t>
        </is>
      </c>
      <c r="F14" t="inlineStr">
        <is>
          <t>2023-01-05</t>
        </is>
      </c>
      <c r="G14" s="6" t="n">
        <v>450000</v>
      </c>
      <c r="H14" s="6" t="n">
        <v>249375</v>
      </c>
      <c r="I14" s="6" t="n">
        <v>200625</v>
      </c>
      <c r="J14" t="n">
        <v>5</v>
      </c>
      <c r="K14" s="7" t="n">
        <v>0.05</v>
      </c>
    </row>
    <row r="15">
      <c r="A15" t="inlineStr">
        <is>
          <t>FA-0011</t>
        </is>
      </c>
      <c r="B15" t="inlineStr">
        <is>
          <t>电脑</t>
        </is>
      </c>
      <c r="C15" t="inlineStr">
        <is>
          <t>电子设备</t>
        </is>
      </c>
      <c r="D15" t="inlineStr">
        <is>
          <t>标准型</t>
        </is>
      </c>
      <c r="E15" t="inlineStr">
        <is>
          <t>台</t>
        </is>
      </c>
      <c r="F15" t="inlineStr">
        <is>
          <t>2019-10-10</t>
        </is>
      </c>
      <c r="G15" s="6" t="n">
        <v>8500</v>
      </c>
      <c r="H15" s="6" t="n">
        <v>8075</v>
      </c>
      <c r="I15" s="6" t="n">
        <v>425</v>
      </c>
      <c r="J15" t="n">
        <v>3</v>
      </c>
      <c r="K15" s="7" t="n">
        <v>0.05</v>
      </c>
    </row>
    <row r="16">
      <c r="A16" t="inlineStr">
        <is>
          <t>FA-0012</t>
        </is>
      </c>
      <c r="B16" t="inlineStr">
        <is>
          <t>打印机</t>
        </is>
      </c>
      <c r="C16" t="inlineStr">
        <is>
          <t>办公设备</t>
        </is>
      </c>
      <c r="D16" t="inlineStr">
        <is>
          <t>标准型</t>
        </is>
      </c>
      <c r="E16" t="inlineStr">
        <is>
          <t>台</t>
        </is>
      </c>
      <c r="F16" t="inlineStr">
        <is>
          <t>2018-04-04</t>
        </is>
      </c>
      <c r="G16" s="6" t="n">
        <v>5200</v>
      </c>
      <c r="H16" s="6" t="n">
        <v>4940</v>
      </c>
      <c r="I16" s="6" t="n">
        <v>260</v>
      </c>
      <c r="J16" t="n">
        <v>3</v>
      </c>
      <c r="K16" s="7" t="n">
        <v>0.05</v>
      </c>
    </row>
    <row r="17">
      <c r="A17" t="inlineStr">
        <is>
          <t>FA-0013</t>
        </is>
      </c>
      <c r="B17" t="inlineStr">
        <is>
          <t>空调</t>
        </is>
      </c>
      <c r="C17" t="inlineStr">
        <is>
          <t>办公设备</t>
        </is>
      </c>
      <c r="D17" t="inlineStr">
        <is>
          <t>标准型</t>
        </is>
      </c>
      <c r="E17" t="inlineStr">
        <is>
          <t>台</t>
        </is>
      </c>
      <c r="F17" t="inlineStr">
        <is>
          <t>2022-07-20</t>
        </is>
      </c>
      <c r="G17" s="6" t="n">
        <v>12000</v>
      </c>
      <c r="H17" s="6" t="n">
        <v>7790</v>
      </c>
      <c r="I17" s="6" t="n">
        <v>4210</v>
      </c>
      <c r="J17" t="n">
        <v>5</v>
      </c>
      <c r="K17" s="7" t="n">
        <v>0.05</v>
      </c>
    </row>
    <row r="18">
      <c r="A18" s="8" t="inlineStr">
        <is>
          <t>合计</t>
        </is>
      </c>
      <c r="G18" s="9">
        <f>SUM(G5:G17)</f>
        <v/>
      </c>
      <c r="H18" s="9">
        <f>SUM(H5:H17)</f>
        <v/>
      </c>
      <c r="I18" s="9">
        <f>SUM(I5:I17)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