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租赁负债计算表" sheetId="2" state="visible" r:id="rId2"/>
    <sheet name="租赁合同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等线"/>
      <b val="1"/>
      <sz val="16"/>
    </font>
    <font>
      <i val="1"/>
      <color rgb="00888888"/>
      <sz val="9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使用权资产和租赁负债计算表</t>
        </is>
      </c>
    </row>
    <row r="2">
      <c r="A2" t="inlineStr">
        <is>
          <t>资料编号：租-2</t>
        </is>
      </c>
    </row>
    <row r="3">
      <c r="A3" t="inlineStr">
        <is>
          <t>实体归属：ABC制造</t>
        </is>
      </c>
    </row>
    <row r="4">
      <c r="A4" t="inlineStr">
        <is>
          <t>相关科目：租赁</t>
        </is>
      </c>
    </row>
    <row r="5">
      <c r="A5" t="inlineStr">
        <is>
          <t>报告期间：2025年12月31日</t>
        </is>
      </c>
    </row>
    <row r="6">
      <c r="A6" t="inlineStr">
        <is>
          <t>资料状态：已提供，审核中</t>
        </is>
      </c>
    </row>
    <row r="7">
      <c r="A7" t="inlineStr">
        <is>
          <t>生成时间：2026-07-19 22:35:17</t>
        </is>
      </c>
    </row>
    <row r="9">
      <c r="A9" t="inlineStr">
        <is>
          <t>需求描述：</t>
        </is>
      </c>
    </row>
    <row r="10">
      <c r="A10" s="2" t="inlineStr">
        <is>
          <t>请提供2025年期间的使用权资产和租赁负债计算表</t>
        </is>
      </c>
    </row>
    <row r="11">
      <c r="A11" s="3" t="inlineStr">
        <is>
          <t>—— 本文件为 IPO 审计 PBC 智能管理工作站模拟数据，所有公司名/账户号/人名均为虚构，仅供产品测试演示使用。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  <col width="12" customWidth="1" min="5" max="5"/>
    <col width="18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>
      <c r="A1" s="4" t="inlineStr">
        <is>
          <t>使用权资产与租赁负债计算表</t>
        </is>
      </c>
    </row>
    <row r="2">
      <c r="A2" t="inlineStr">
        <is>
          <t>编制单位：ABC制造　　截止日：2025年12月31日　　单位：元</t>
        </is>
      </c>
    </row>
    <row r="4" ht="24" customHeight="1">
      <c r="A4" s="5" t="inlineStr">
        <is>
          <t>租赁合同编号</t>
        </is>
      </c>
      <c r="B4" s="5" t="inlineStr">
        <is>
          <t>租赁资产</t>
        </is>
      </c>
      <c r="C4" s="5" t="inlineStr">
        <is>
          <t>租赁期(月)</t>
        </is>
      </c>
      <c r="D4" s="5" t="inlineStr">
        <is>
          <t>月租金</t>
        </is>
      </c>
      <c r="E4" s="5" t="inlineStr">
        <is>
          <t>折现率(月)</t>
        </is>
      </c>
      <c r="F4" s="5" t="inlineStr">
        <is>
          <t>租赁付款额现值</t>
        </is>
      </c>
      <c r="G4" s="5" t="inlineStr">
        <is>
          <t>使用权资产原值</t>
        </is>
      </c>
      <c r="H4" s="5" t="inlineStr">
        <is>
          <t>累计摊销</t>
        </is>
      </c>
      <c r="I4" s="5" t="inlineStr">
        <is>
          <t>使用权资产净值</t>
        </is>
      </c>
      <c r="J4" s="5" t="inlineStr">
        <is>
          <t>租赁负债余额</t>
        </is>
      </c>
    </row>
    <row r="5">
      <c r="A5" t="inlineStr">
        <is>
          <t>L2023-001</t>
        </is>
      </c>
      <c r="B5" t="inlineStr">
        <is>
          <t>厂房A租赁</t>
        </is>
      </c>
      <c r="C5" t="n">
        <v>60</v>
      </c>
      <c r="D5" s="6" t="n">
        <v>250000</v>
      </c>
      <c r="E5" s="7" t="n">
        <v>0.004</v>
      </c>
      <c r="F5" s="6" t="n">
        <v>13312216.96</v>
      </c>
      <c r="G5" s="6" t="n">
        <v>13312216.96</v>
      </c>
      <c r="H5" s="6" t="n">
        <v>4437405.65</v>
      </c>
      <c r="I5" s="6" t="n">
        <v>8874811.310000001</v>
      </c>
      <c r="J5" s="6" t="n">
        <v>9224012.91</v>
      </c>
    </row>
    <row r="6">
      <c r="A6" t="inlineStr">
        <is>
          <t>L2023-002</t>
        </is>
      </c>
      <c r="B6" t="inlineStr">
        <is>
          <t>办公楼租赁</t>
        </is>
      </c>
      <c r="C6" t="n">
        <v>36</v>
      </c>
      <c r="D6" s="6" t="n">
        <v>80000</v>
      </c>
      <c r="E6" s="7" t="n">
        <v>0.004</v>
      </c>
      <c r="F6" s="6" t="n">
        <v>2677270.07</v>
      </c>
      <c r="G6" s="6" t="n">
        <v>2677270.07</v>
      </c>
      <c r="H6" s="6" t="n">
        <v>892423.36</v>
      </c>
      <c r="I6" s="6" t="n">
        <v>1784846.71</v>
      </c>
      <c r="J6" s="6" t="n">
        <v>1827240.12</v>
      </c>
    </row>
    <row r="7">
      <c r="A7" t="inlineStr">
        <is>
          <t>L2024-005</t>
        </is>
      </c>
      <c r="B7" t="inlineStr">
        <is>
          <t>仓库租赁</t>
        </is>
      </c>
      <c r="C7" t="n">
        <v>24</v>
      </c>
      <c r="D7" s="6" t="n">
        <v>35000</v>
      </c>
      <c r="E7" s="7" t="n">
        <v>0.004</v>
      </c>
      <c r="F7" s="6" t="n">
        <v>799417.55</v>
      </c>
      <c r="G7" s="6" t="n">
        <v>799417.55</v>
      </c>
      <c r="H7" s="6" t="n">
        <v>266472.52</v>
      </c>
      <c r="I7" s="6" t="n">
        <v>532945.03</v>
      </c>
      <c r="J7" s="6" t="n">
        <v>541408.41</v>
      </c>
    </row>
    <row r="8">
      <c r="A8" t="inlineStr">
        <is>
          <t>L2024-008</t>
        </is>
      </c>
      <c r="B8" t="inlineStr">
        <is>
          <t>店面租赁</t>
        </is>
      </c>
      <c r="C8" t="n">
        <v>36</v>
      </c>
      <c r="D8" s="6" t="n">
        <v>60000</v>
      </c>
      <c r="E8" s="7" t="n">
        <v>0.004</v>
      </c>
      <c r="F8" s="6" t="n">
        <v>2007952.55</v>
      </c>
      <c r="G8" s="6" t="n">
        <v>2007952.55</v>
      </c>
      <c r="H8" s="6" t="n">
        <v>669317.52</v>
      </c>
      <c r="I8" s="6" t="n">
        <v>1338635.03</v>
      </c>
      <c r="J8" s="6" t="n">
        <v>1370430.09</v>
      </c>
    </row>
    <row r="9">
      <c r="A9" t="inlineStr">
        <is>
          <t>L2025-002</t>
        </is>
      </c>
      <c r="B9" t="inlineStr">
        <is>
          <t>设备租赁</t>
        </is>
      </c>
      <c r="C9" t="n">
        <v>12</v>
      </c>
      <c r="D9" s="6" t="n">
        <v>18000</v>
      </c>
      <c r="E9" s="7" t="n">
        <v>0.004</v>
      </c>
      <c r="F9" s="6" t="n">
        <v>210487.28</v>
      </c>
      <c r="G9" s="6" t="n">
        <v>210487.28</v>
      </c>
      <c r="H9" s="6" t="n">
        <v>70162.42999999999</v>
      </c>
      <c r="I9" s="6" t="n">
        <v>140324.85</v>
      </c>
      <c r="J9" s="6" t="n">
        <v>141442.18</v>
      </c>
    </row>
    <row r="10">
      <c r="A10" s="8" t="inlineStr">
        <is>
          <t>合计</t>
        </is>
      </c>
      <c r="F10" s="9">
        <f>SUM(F5:F9)</f>
        <v/>
      </c>
      <c r="G10" s="9">
        <f>SUM(G5:G9)</f>
        <v/>
      </c>
      <c r="H10" s="9">
        <f>SUM(H5:H9)</f>
        <v/>
      </c>
      <c r="I10" s="9">
        <f>SUM(I5:I9)</f>
        <v/>
      </c>
      <c r="J10" s="9">
        <f>SUM(J5:J9)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租赁合同明细</t>
        </is>
      </c>
    </row>
    <row r="3" ht="24" customHeight="1">
      <c r="A3" s="5" t="inlineStr">
        <is>
          <t>合同编号</t>
        </is>
      </c>
      <c r="B3" s="5" t="inlineStr">
        <is>
          <t>出租方</t>
        </is>
      </c>
      <c r="C3" s="5" t="inlineStr">
        <is>
          <t>租赁资产</t>
        </is>
      </c>
      <c r="D3" s="5" t="inlineStr">
        <is>
          <t>租赁起始日</t>
        </is>
      </c>
      <c r="E3" s="5" t="inlineStr">
        <is>
          <t>租赁终止日</t>
        </is>
      </c>
      <c r="F3" s="5" t="inlineStr">
        <is>
          <t>月租金</t>
        </is>
      </c>
      <c r="G3" s="5" t="inlineStr">
        <is>
          <t>免租期</t>
        </is>
      </c>
      <c r="H3" s="5" t="inlineStr">
        <is>
          <t>押金</t>
        </is>
      </c>
    </row>
    <row r="4">
      <c r="A4" t="inlineStr">
        <is>
          <t>L2023-001</t>
        </is>
      </c>
      <c r="B4" t="inlineStr">
        <is>
          <t>广州市黄埔工业区管委会</t>
        </is>
      </c>
      <c r="C4" t="inlineStr">
        <is>
          <t>厂房A</t>
        </is>
      </c>
      <c r="D4" t="inlineStr">
        <is>
          <t>2023-01-01</t>
        </is>
      </c>
      <c r="E4" t="inlineStr">
        <is>
          <t>2027-12-31</t>
        </is>
      </c>
      <c r="F4" s="6" t="n">
        <v>250000</v>
      </c>
      <c r="G4" t="inlineStr">
        <is>
          <t>无</t>
        </is>
      </c>
      <c r="H4" s="6" t="n">
        <v>500000</v>
      </c>
    </row>
    <row r="5">
      <c r="A5" t="inlineStr">
        <is>
          <t>L2023-002</t>
        </is>
      </c>
      <c r="B5" t="inlineStr">
        <is>
          <t>广州珠江物业管理有限公司</t>
        </is>
      </c>
      <c r="C5" t="inlineStr">
        <is>
          <t>办公楼 5F</t>
        </is>
      </c>
      <c r="D5" t="inlineStr">
        <is>
          <t>2023-06-01</t>
        </is>
      </c>
      <c r="E5" t="inlineStr">
        <is>
          <t>2026-05-31</t>
        </is>
      </c>
      <c r="F5" s="6" t="n">
        <v>80000</v>
      </c>
      <c r="G5" t="inlineStr">
        <is>
          <t>1个月</t>
        </is>
      </c>
      <c r="H5" s="6" t="n">
        <v>160000</v>
      </c>
    </row>
    <row r="6">
      <c r="A6" t="inlineStr">
        <is>
          <t>L2024-005</t>
        </is>
      </c>
      <c r="B6" t="inlineStr">
        <is>
          <t>广州仓储服务有限公司</t>
        </is>
      </c>
      <c r="C6" t="inlineStr">
        <is>
          <t>仓库 B-12</t>
        </is>
      </c>
      <c r="D6" t="inlineStr">
        <is>
          <t>2024-03-01</t>
        </is>
      </c>
      <c r="E6" t="inlineStr">
        <is>
          <t>2026-02-28</t>
        </is>
      </c>
      <c r="F6" s="6" t="n">
        <v>35000</v>
      </c>
      <c r="G6" t="inlineStr">
        <is>
          <t>无</t>
        </is>
      </c>
      <c r="H6" s="6" t="n">
        <v>70000</v>
      </c>
    </row>
    <row r="7">
      <c r="A7" t="inlineStr">
        <is>
          <t>L2024-008</t>
        </is>
      </c>
      <c r="B7" t="inlineStr">
        <is>
          <t>广州天河商业管理公司</t>
        </is>
      </c>
      <c r="C7" t="inlineStr">
        <is>
          <t>店面 102</t>
        </is>
      </c>
      <c r="D7" t="inlineStr">
        <is>
          <t>2024-09-01</t>
        </is>
      </c>
      <c r="E7" t="inlineStr">
        <is>
          <t>2027-08-31</t>
        </is>
      </c>
      <c r="F7" s="6" t="n">
        <v>60000</v>
      </c>
      <c r="G7" t="inlineStr">
        <is>
          <t>无</t>
        </is>
      </c>
      <c r="H7" s="6" t="n">
        <v>180000</v>
      </c>
    </row>
    <row r="8">
      <c r="A8" t="inlineStr">
        <is>
          <t>L2025-002</t>
        </is>
      </c>
      <c r="B8" t="inlineStr">
        <is>
          <t>三一重工融资租赁公司</t>
        </is>
      </c>
      <c r="C8" t="inlineStr">
        <is>
          <t>数控机床</t>
        </is>
      </c>
      <c r="D8" t="inlineStr">
        <is>
          <t>2025-02-01</t>
        </is>
      </c>
      <c r="E8" t="inlineStr">
        <is>
          <t>2026-01-31</t>
        </is>
      </c>
      <c r="F8" s="6" t="n">
        <v>18000</v>
      </c>
      <c r="G8" t="inlineStr">
        <is>
          <t>无</t>
        </is>
      </c>
      <c r="H8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2026-07-19T14:35:17Z</dcterms:created>
  <dcterms:modified xsi:type="dcterms:W3CDTF">2026-07-19T14:35:17Z</dcterms:modified>
</cp:coreProperties>
</file>